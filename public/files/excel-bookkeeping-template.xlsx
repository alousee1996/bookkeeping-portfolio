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 Rover\Desktop\BA Intensive Training\"/>
    </mc:Choice>
  </mc:AlternateContent>
  <xr:revisionPtr revIDLastSave="0" documentId="13_ncr:1_{A3105EB7-A1E5-44B1-A887-454D15F1160A}" xr6:coauthVersionLast="47" xr6:coauthVersionMax="47" xr10:uidLastSave="{00000000-0000-0000-0000-000000000000}"/>
  <bookViews>
    <workbookView xWindow="-108" yWindow="-108" windowWidth="23256" windowHeight="12456" activeTab="3" xr2:uid="{4E6232DD-7FD6-4E1F-8776-624FD0147B69}"/>
  </bookViews>
  <sheets>
    <sheet name="Chart of Accounts" sheetId="1" r:id="rId1"/>
    <sheet name="Journal Entries" sheetId="3" r:id="rId2"/>
    <sheet name="Trial Balance" sheetId="4" r:id="rId3"/>
    <sheet name="Financial Statemen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5" l="1"/>
  <c r="D19" i="4"/>
  <c r="G20" i="5"/>
  <c r="G19" i="5"/>
  <c r="B6" i="4"/>
  <c r="A7" i="4"/>
  <c r="A8" i="4"/>
  <c r="A9" i="4"/>
  <c r="A10" i="4"/>
  <c r="A11" i="4"/>
  <c r="A12" i="4"/>
  <c r="A13" i="4"/>
  <c r="A14" i="4"/>
  <c r="A15" i="4"/>
  <c r="A16" i="4"/>
  <c r="A6" i="4"/>
  <c r="B7" i="4"/>
  <c r="B8" i="4"/>
  <c r="B9" i="4"/>
  <c r="B10" i="4"/>
  <c r="B11" i="4"/>
  <c r="B12" i="4"/>
  <c r="D12" i="4" s="1"/>
  <c r="B13" i="4"/>
  <c r="B14" i="4"/>
  <c r="D14" i="4" s="1"/>
  <c r="C9" i="5" s="1"/>
  <c r="B15" i="4"/>
  <c r="D15" i="4" s="1"/>
  <c r="C10" i="5" s="1"/>
  <c r="B16" i="4"/>
  <c r="C16" i="4" s="1"/>
  <c r="D6" i="4"/>
  <c r="G8" i="5" s="1"/>
  <c r="E13" i="4"/>
  <c r="D7" i="5" s="1"/>
  <c r="E11" i="4"/>
  <c r="E10" i="4"/>
  <c r="D16" i="4"/>
  <c r="C11" i="5" s="1"/>
  <c r="D7" i="4"/>
  <c r="G9" i="5" s="1"/>
  <c r="D8" i="4"/>
  <c r="G10" i="5" s="1"/>
  <c r="D9" i="4"/>
  <c r="G11" i="5" s="1"/>
  <c r="C14" i="4"/>
  <c r="C13" i="4"/>
  <c r="C12" i="4"/>
  <c r="C11" i="4"/>
  <c r="C10" i="4"/>
  <c r="C9" i="4"/>
  <c r="C8" i="4"/>
  <c r="C7" i="4"/>
  <c r="D25" i="3"/>
  <c r="E25" i="3"/>
  <c r="E27" i="3" s="1"/>
  <c r="C23" i="3"/>
  <c r="C24" i="3"/>
  <c r="C21" i="3"/>
  <c r="C22" i="3"/>
  <c r="C19" i="3"/>
  <c r="C20" i="3"/>
  <c r="C17" i="3"/>
  <c r="C18" i="3"/>
  <c r="C15" i="3"/>
  <c r="C16" i="3"/>
  <c r="C13" i="3"/>
  <c r="C14" i="3"/>
  <c r="C11" i="3"/>
  <c r="C12" i="3"/>
  <c r="C9" i="3"/>
  <c r="C10" i="3"/>
  <c r="C7" i="3"/>
  <c r="C8" i="3"/>
  <c r="C6" i="3"/>
  <c r="C5" i="3"/>
  <c r="D12" i="5" l="1"/>
  <c r="D13" i="5" s="1"/>
  <c r="G21" i="5" s="1"/>
  <c r="G22" i="5" s="1"/>
  <c r="G24" i="5" s="1"/>
  <c r="G27" i="5" s="1"/>
  <c r="G12" i="5"/>
  <c r="E17" i="4"/>
  <c r="C15" i="4"/>
  <c r="D17" i="4"/>
  <c r="C6" i="4"/>
</calcChain>
</file>

<file path=xl/sharedStrings.xml><?xml version="1.0" encoding="utf-8"?>
<sst xmlns="http://schemas.openxmlformats.org/spreadsheetml/2006/main" count="125" uniqueCount="63">
  <si>
    <t>Cash</t>
  </si>
  <si>
    <t>CHART OF ACCOUNTS</t>
  </si>
  <si>
    <t>ACCOUNT NUMBER</t>
  </si>
  <si>
    <t>ACCOUNT NAME</t>
  </si>
  <si>
    <t>NORMAL BALANCE</t>
  </si>
  <si>
    <t>Accounts Receivable</t>
  </si>
  <si>
    <t>Office Supplies</t>
  </si>
  <si>
    <t>Equipment</t>
  </si>
  <si>
    <t>Account Payable</t>
  </si>
  <si>
    <t>Owner's Capital</t>
  </si>
  <si>
    <t>Owner's Drawing</t>
  </si>
  <si>
    <t>Service Revenue</t>
  </si>
  <si>
    <t>Rent Expense</t>
  </si>
  <si>
    <t>Salaries Expense</t>
  </si>
  <si>
    <t>Utilities Expense</t>
  </si>
  <si>
    <t>Asset</t>
  </si>
  <si>
    <t>Liability</t>
  </si>
  <si>
    <t>Equity</t>
  </si>
  <si>
    <t>Equity (Contra)</t>
  </si>
  <si>
    <t>Revenue</t>
  </si>
  <si>
    <t>Expense</t>
  </si>
  <si>
    <t>Debit</t>
  </si>
  <si>
    <t>Credit</t>
  </si>
  <si>
    <t>DATE</t>
  </si>
  <si>
    <t>ACCOUNT TITLE</t>
  </si>
  <si>
    <t>REF</t>
  </si>
  <si>
    <t>DEBIT</t>
  </si>
  <si>
    <t>CREDIT</t>
  </si>
  <si>
    <t>NOTES</t>
  </si>
  <si>
    <t>Carlo's Digital Solutions</t>
  </si>
  <si>
    <t>General Journal - July 2026</t>
  </si>
  <si>
    <t>Owner's Investment</t>
  </si>
  <si>
    <t>Paid office rent through cash</t>
  </si>
  <si>
    <t>Purchased office supplies through cash</t>
  </si>
  <si>
    <t>Purchased desktop on credit</t>
  </si>
  <si>
    <t>Service Revenue-payment to be collected</t>
  </si>
  <si>
    <t>Collected partial payment from client, service provided on July 12, 2026</t>
  </si>
  <si>
    <t>To record salary expense - paid through cash</t>
  </si>
  <si>
    <t>Service Revenue- client paid cash</t>
  </si>
  <si>
    <t>To record payment of utilitites through cash</t>
  </si>
  <si>
    <t>Owner's withdrawal</t>
  </si>
  <si>
    <t>Trial Balance</t>
  </si>
  <si>
    <t>ACCOUNT TYPE</t>
  </si>
  <si>
    <t>Profit &amp; Loss Statement</t>
  </si>
  <si>
    <t>For the month of July 2025</t>
  </si>
  <si>
    <t>Less: Expenses</t>
  </si>
  <si>
    <t>Rent Expenses</t>
  </si>
  <si>
    <t>Salaries Expenses</t>
  </si>
  <si>
    <t>Utilities Expenses</t>
  </si>
  <si>
    <t>Net Income</t>
  </si>
  <si>
    <t>Total Expenses</t>
  </si>
  <si>
    <t>Balance Sheet</t>
  </si>
  <si>
    <t>As of July 31, 2025</t>
  </si>
  <si>
    <t>Assets</t>
  </si>
  <si>
    <t>Total Assets</t>
  </si>
  <si>
    <t>Accounts Payable</t>
  </si>
  <si>
    <t>Liabilities</t>
  </si>
  <si>
    <t>Owner's Equity</t>
  </si>
  <si>
    <t>Retained Earnings</t>
  </si>
  <si>
    <t>Total Owner's Equity</t>
  </si>
  <si>
    <t>Total Liabilities &amp; Equity</t>
  </si>
  <si>
    <t>Total Liabilities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</si>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</sst>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-3409]mmmm\ dd\,\ yyyy;@"/>
    <numFmt numFmtId="166" formatCode="#,##0.00;#\(##0\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 val="doubleAccounting"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"/>
    </xf>
    <xf numFmtId="164" fontId="0" fillId="0" borderId="0" xfId="1" applyNumberFormat="1" applyFont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164" fontId="3" fillId="0" borderId="0" xfId="1" applyNumberFormat="1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5" fillId="0" borderId="2" xfId="0" applyNumberFormat="1" applyFont="1" applyBorder="1" applyAlignment="1">
      <alignment horizontal="centerContinuous" vertical="center"/>
    </xf>
    <xf numFmtId="0" fontId="0" fillId="0" borderId="3" xfId="0" applyNumberFormat="1" applyBorder="1" applyAlignment="1">
      <alignment horizontal="centerContinuous"/>
    </xf>
    <xf numFmtId="0" fontId="0" fillId="0" borderId="4" xfId="0" applyNumberFormat="1" applyBorder="1" applyAlignment="1">
      <alignment horizontal="centerContinuous"/>
    </xf>
    <xf numFmtId="0" fontId="5" fillId="0" borderId="5" xfId="0" applyNumberFormat="1" applyFont="1" applyBorder="1" applyAlignment="1">
      <alignment horizontal="centerContinuous" vertical="center"/>
    </xf>
    <xf numFmtId="0" fontId="0" fillId="0" borderId="0" xfId="0" applyNumberFormat="1" applyBorder="1" applyAlignment="1">
      <alignment horizontal="centerContinuous"/>
    </xf>
    <xf numFmtId="0" fontId="0" fillId="0" borderId="6" xfId="0" applyNumberFormat="1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164" fontId="0" fillId="0" borderId="0" xfId="1" applyNumberFormat="1" applyFont="1" applyBorder="1"/>
    <xf numFmtId="164" fontId="0" fillId="0" borderId="6" xfId="1" applyNumberFormat="1" applyFont="1" applyBorder="1"/>
    <xf numFmtId="0" fontId="0" fillId="0" borderId="5" xfId="0" applyBorder="1" applyAlignment="1">
      <alignment horizontal="left" indent="2"/>
    </xf>
    <xf numFmtId="0" fontId="0" fillId="0" borderId="5" xfId="0" applyBorder="1" applyAlignment="1">
      <alignment horizontal="left"/>
    </xf>
    <xf numFmtId="0" fontId="1" fillId="0" borderId="7" xfId="0" applyFont="1" applyBorder="1" applyAlignment="1">
      <alignment horizontal="left"/>
    </xf>
    <xf numFmtId="164" fontId="0" fillId="0" borderId="1" xfId="1" applyNumberFormat="1" applyFont="1" applyBorder="1"/>
    <xf numFmtId="164" fontId="4" fillId="0" borderId="8" xfId="1" applyNumberFormat="1" applyFont="1" applyBorder="1"/>
    <xf numFmtId="0" fontId="5" fillId="0" borderId="2" xfId="0" applyFont="1" applyBorder="1" applyAlignment="1">
      <alignment horizontal="centerContinuous" vertical="center"/>
    </xf>
    <xf numFmtId="0" fontId="0" fillId="0" borderId="4" xfId="0" applyBorder="1" applyAlignment="1">
      <alignment horizontal="centerContinuous"/>
    </xf>
    <xf numFmtId="0" fontId="5" fillId="0" borderId="5" xfId="0" applyFont="1" applyBorder="1" applyAlignment="1">
      <alignment horizontal="centerContinuous" vertical="center"/>
    </xf>
    <xf numFmtId="0" fontId="0" fillId="0" borderId="5" xfId="0" applyBorder="1" applyAlignment="1">
      <alignment horizontal="left" indent="3"/>
    </xf>
    <xf numFmtId="0" fontId="1" fillId="0" borderId="5" xfId="0" applyFont="1" applyBorder="1"/>
    <xf numFmtId="164" fontId="2" fillId="0" borderId="6" xfId="1" applyNumberFormat="1" applyFont="1" applyBorder="1"/>
    <xf numFmtId="166" fontId="0" fillId="0" borderId="6" xfId="1" applyNumberFormat="1" applyFont="1" applyBorder="1"/>
    <xf numFmtId="0" fontId="1" fillId="0" borderId="7" xfId="0" applyFont="1" applyBorder="1"/>
    <xf numFmtId="164" fontId="4" fillId="0" borderId="6" xfId="1" applyNumberFormat="1" applyFont="1" applyBorder="1"/>
    <xf numFmtId="0" fontId="0" fillId="0" borderId="5" xfId="0" applyFont="1" applyBorder="1"/>
  </cellXfs>
  <cellStyles count="2">
    <cellStyle name="Comma" xfId="1" builtinId="3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251013</xdr:colOff>
      <xdr:row>1</xdr:row>
      <xdr:rowOff>35859</xdr:rowOff>
    </xdr:from>
    <xdr:to>
      <xdr:col>17</xdr:col>
      <xdr:colOff>295835</xdr:colOff>
      <xdr:row>24</xdr:row>
      <xdr:rowOff>143436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F219AC-60B8-4480-955A-CFDA40B752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3416"/>
        <a:stretch/>
      </xdr:blipFill>
      <xdr:spPr>
        <a:xfrm>
          <a:off x="8722660" y="349624"/>
          <a:ext cx="6750422" cy="4616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9368-97E4-44EE-87B3-EBEFD1FA4928}">
  <dimension ref="A1:D14"/>
  <sheetViews>
    <sheetView workbookViewId="0">
      <selection activeCell="B5" sqref="B5"/>
    </sheetView>
  </sheetViews>
  <sheetFormatPr defaultRowHeight="14.4" x14ac:dyDescent="0.3"/>
  <cols>
    <col min="1" max="1" width="19" customWidth="1"/>
    <col min="2" max="2" width="19" style="1" customWidth="1"/>
    <col min="3" max="4" width="19" customWidth="1"/>
    <col min="5" max="5" width="18.5546875" customWidth="1"/>
  </cols>
  <sheetData>
    <row r="1" spans="1:4" ht="25.8" customHeight="1" x14ac:dyDescent="0.3">
      <c r="A1" s="20" t="s">
        <v>1</v>
      </c>
      <c r="B1" s="19"/>
      <c r="C1" s="19"/>
      <c r="D1" s="19"/>
    </row>
    <row r="3" spans="1:4" ht="28.8" x14ac:dyDescent="0.3">
      <c r="A3" s="16" t="s">
        <v>3</v>
      </c>
      <c r="B3" s="17" t="s">
        <v>2</v>
      </c>
      <c r="C3" s="18" t="s">
        <v>42</v>
      </c>
      <c r="D3" s="16" t="s">
        <v>4</v>
      </c>
    </row>
    <row r="4" spans="1:4" x14ac:dyDescent="0.3">
      <c r="A4" t="s">
        <v>0</v>
      </c>
      <c r="B4" s="1">
        <v>101</v>
      </c>
      <c r="C4" t="s">
        <v>15</v>
      </c>
      <c r="D4" t="s">
        <v>21</v>
      </c>
    </row>
    <row r="5" spans="1:4" x14ac:dyDescent="0.3">
      <c r="A5" t="s">
        <v>5</v>
      </c>
      <c r="B5" s="1">
        <v>110</v>
      </c>
      <c r="C5" t="s">
        <v>15</v>
      </c>
      <c r="D5" t="s">
        <v>21</v>
      </c>
    </row>
    <row r="6" spans="1:4" x14ac:dyDescent="0.3">
      <c r="A6" t="s">
        <v>6</v>
      </c>
      <c r="B6" s="1">
        <v>120</v>
      </c>
      <c r="C6" t="s">
        <v>15</v>
      </c>
      <c r="D6" t="s">
        <v>21</v>
      </c>
    </row>
    <row r="7" spans="1:4" x14ac:dyDescent="0.3">
      <c r="A7" t="s">
        <v>7</v>
      </c>
      <c r="B7" s="1">
        <v>150</v>
      </c>
      <c r="C7" t="s">
        <v>15</v>
      </c>
      <c r="D7" t="s">
        <v>21</v>
      </c>
    </row>
    <row r="8" spans="1:4" x14ac:dyDescent="0.3">
      <c r="A8" t="s">
        <v>8</v>
      </c>
      <c r="B8" s="1">
        <v>201</v>
      </c>
      <c r="C8" t="s">
        <v>16</v>
      </c>
      <c r="D8" t="s">
        <v>22</v>
      </c>
    </row>
    <row r="9" spans="1:4" x14ac:dyDescent="0.3">
      <c r="A9" t="s">
        <v>9</v>
      </c>
      <c r="B9" s="1">
        <v>301</v>
      </c>
      <c r="C9" t="s">
        <v>17</v>
      </c>
      <c r="D9" t="s">
        <v>22</v>
      </c>
    </row>
    <row r="10" spans="1:4" x14ac:dyDescent="0.3">
      <c r="A10" t="s">
        <v>10</v>
      </c>
      <c r="B10" s="1">
        <v>302</v>
      </c>
      <c r="C10" t="s">
        <v>18</v>
      </c>
      <c r="D10" t="s">
        <v>21</v>
      </c>
    </row>
    <row r="11" spans="1:4" x14ac:dyDescent="0.3">
      <c r="A11" t="s">
        <v>11</v>
      </c>
      <c r="B11" s="1">
        <v>401</v>
      </c>
      <c r="C11" t="s">
        <v>19</v>
      </c>
      <c r="D11" t="s">
        <v>22</v>
      </c>
    </row>
    <row r="12" spans="1:4" x14ac:dyDescent="0.3">
      <c r="A12" t="s">
        <v>12</v>
      </c>
      <c r="B12" s="1">
        <v>501</v>
      </c>
      <c r="C12" t="s">
        <v>20</v>
      </c>
      <c r="D12" t="s">
        <v>21</v>
      </c>
    </row>
    <row r="13" spans="1:4" x14ac:dyDescent="0.3">
      <c r="A13" t="s">
        <v>13</v>
      </c>
      <c r="B13" s="1">
        <v>510</v>
      </c>
      <c r="C13" t="s">
        <v>20</v>
      </c>
      <c r="D13" t="s">
        <v>21</v>
      </c>
    </row>
    <row r="14" spans="1:4" x14ac:dyDescent="0.3">
      <c r="A14" t="s">
        <v>14</v>
      </c>
      <c r="B14" s="1">
        <v>520</v>
      </c>
      <c r="C14" t="s">
        <v>20</v>
      </c>
      <c r="D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B75C-7FF9-4A24-8EC0-72CC30AF924F}">
  <dimension ref="A1:R27"/>
  <sheetViews>
    <sheetView topLeftCell="B5" zoomScale="76" zoomScaleNormal="85" workbookViewId="0">
      <selection activeCell="F30" sqref="F30"/>
    </sheetView>
  </sheetViews>
  <sheetFormatPr defaultRowHeight="14.4" x14ac:dyDescent="0.3"/>
  <cols>
    <col min="1" max="1" width="15.5546875" customWidth="1"/>
    <col min="2" max="2" width="18.5546875" customWidth="1"/>
    <col min="4" max="4" width="10.5546875" bestFit="1" customWidth="1"/>
    <col min="5" max="5" width="10.44140625" bestFit="1" customWidth="1"/>
    <col min="6" max="6" width="59.44140625" bestFit="1" customWidth="1"/>
  </cols>
  <sheetData>
    <row r="1" spans="1:18" s="22" customFormat="1" ht="24.6" customHeight="1" x14ac:dyDescent="0.3">
      <c r="A1" s="20" t="s">
        <v>29</v>
      </c>
      <c r="B1" s="21"/>
      <c r="C1" s="21"/>
      <c r="D1" s="21"/>
      <c r="E1" s="21"/>
      <c r="F1" s="21"/>
      <c r="G1" s="21"/>
    </row>
    <row r="2" spans="1:18" s="22" customFormat="1" ht="24.6" customHeight="1" x14ac:dyDescent="0.3">
      <c r="A2" s="20" t="s">
        <v>30</v>
      </c>
      <c r="B2" s="21"/>
      <c r="C2" s="21"/>
      <c r="D2" s="21"/>
      <c r="E2" s="21"/>
      <c r="F2" s="21"/>
      <c r="G2" s="21"/>
    </row>
    <row r="3" spans="1:18" ht="34.200000000000003" customHeight="1" x14ac:dyDescent="0.3">
      <c r="A3" s="4"/>
      <c r="B3" s="5"/>
      <c r="C3" s="5"/>
      <c r="D3" s="5"/>
      <c r="E3" s="5"/>
      <c r="F3" s="5"/>
      <c r="G3" s="5"/>
    </row>
    <row r="4" spans="1:18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R4" s="1"/>
    </row>
    <row r="5" spans="1:18" x14ac:dyDescent="0.3">
      <c r="A5" s="9">
        <v>46204</v>
      </c>
      <c r="B5" t="s">
        <v>0</v>
      </c>
      <c r="C5">
        <f>VLOOKUP(B5,'Chart of Accounts'!A:B,2,0)</f>
        <v>101</v>
      </c>
      <c r="D5" s="3">
        <v>10000</v>
      </c>
      <c r="E5" s="3"/>
      <c r="F5" t="s">
        <v>31</v>
      </c>
      <c r="R5" s="1"/>
    </row>
    <row r="6" spans="1:18" x14ac:dyDescent="0.3">
      <c r="A6" s="9"/>
      <c r="B6" s="2" t="s">
        <v>9</v>
      </c>
      <c r="C6">
        <f>VLOOKUP(B6,'Chart of Accounts'!A:B,2,0)</f>
        <v>301</v>
      </c>
      <c r="D6" s="3"/>
      <c r="E6" s="3">
        <v>10000</v>
      </c>
      <c r="F6" t="s">
        <v>31</v>
      </c>
      <c r="R6" s="1"/>
    </row>
    <row r="7" spans="1:18" x14ac:dyDescent="0.3">
      <c r="A7" s="9">
        <v>46204</v>
      </c>
      <c r="B7" t="s">
        <v>12</v>
      </c>
      <c r="C7">
        <f>VLOOKUP(B7,'Chart of Accounts'!A:B,2,0)</f>
        <v>501</v>
      </c>
      <c r="D7" s="3">
        <v>750</v>
      </c>
      <c r="E7" s="3"/>
      <c r="F7" t="s">
        <v>32</v>
      </c>
      <c r="R7" s="1"/>
    </row>
    <row r="8" spans="1:18" x14ac:dyDescent="0.3">
      <c r="A8" s="9"/>
      <c r="B8" s="2" t="s">
        <v>0</v>
      </c>
      <c r="C8">
        <f>VLOOKUP(B8,'Chart of Accounts'!A:B,2,0)</f>
        <v>101</v>
      </c>
      <c r="D8" s="3"/>
      <c r="E8" s="3">
        <v>750</v>
      </c>
      <c r="F8" t="s">
        <v>32</v>
      </c>
      <c r="R8" s="1"/>
    </row>
    <row r="9" spans="1:18" x14ac:dyDescent="0.3">
      <c r="A9" s="9">
        <v>46206</v>
      </c>
      <c r="B9" t="s">
        <v>6</v>
      </c>
      <c r="C9">
        <f>VLOOKUP(B9,'Chart of Accounts'!A:B,2,0)</f>
        <v>120</v>
      </c>
      <c r="D9" s="3">
        <v>200</v>
      </c>
      <c r="E9" s="3"/>
      <c r="F9" t="s">
        <v>33</v>
      </c>
      <c r="R9" s="1"/>
    </row>
    <row r="10" spans="1:18" x14ac:dyDescent="0.3">
      <c r="A10" s="9"/>
      <c r="B10" s="2" t="s">
        <v>0</v>
      </c>
      <c r="C10">
        <f>VLOOKUP(B10,'Chart of Accounts'!A:B,2,0)</f>
        <v>101</v>
      </c>
      <c r="D10" s="3"/>
      <c r="E10" s="3">
        <v>200</v>
      </c>
      <c r="F10" t="s">
        <v>33</v>
      </c>
      <c r="R10" s="1"/>
    </row>
    <row r="11" spans="1:18" x14ac:dyDescent="0.3">
      <c r="A11" s="9">
        <v>46208</v>
      </c>
      <c r="B11" t="s">
        <v>7</v>
      </c>
      <c r="C11">
        <f>VLOOKUP(B11,'Chart of Accounts'!A:B,2,0)</f>
        <v>150</v>
      </c>
      <c r="D11" s="3">
        <v>1500</v>
      </c>
      <c r="E11" s="3"/>
      <c r="F11" t="s">
        <v>34</v>
      </c>
      <c r="R11" s="1"/>
    </row>
    <row r="12" spans="1:18" x14ac:dyDescent="0.3">
      <c r="A12" s="9"/>
      <c r="B12" s="2" t="s">
        <v>8</v>
      </c>
      <c r="C12">
        <f>VLOOKUP(B12,'Chart of Accounts'!A:B,2,0)</f>
        <v>201</v>
      </c>
      <c r="D12" s="3"/>
      <c r="E12" s="3">
        <v>1500</v>
      </c>
      <c r="F12" t="s">
        <v>34</v>
      </c>
      <c r="R12" s="1"/>
    </row>
    <row r="13" spans="1:18" x14ac:dyDescent="0.3">
      <c r="A13" s="9">
        <v>46211</v>
      </c>
      <c r="B13" t="s">
        <v>0</v>
      </c>
      <c r="C13">
        <f>VLOOKUP(B13,'Chart of Accounts'!A:B,2,0)</f>
        <v>101</v>
      </c>
      <c r="D13" s="3">
        <v>3000</v>
      </c>
      <c r="E13" s="3"/>
      <c r="F13" t="s">
        <v>38</v>
      </c>
      <c r="R13" s="1"/>
    </row>
    <row r="14" spans="1:18" x14ac:dyDescent="0.3">
      <c r="A14" s="9"/>
      <c r="B14" s="2" t="s">
        <v>11</v>
      </c>
      <c r="C14">
        <f>VLOOKUP(B14,'Chart of Accounts'!A:B,2,0)</f>
        <v>401</v>
      </c>
      <c r="D14" s="3"/>
      <c r="E14" s="3">
        <v>3000</v>
      </c>
      <c r="F14" t="s">
        <v>38</v>
      </c>
      <c r="R14" s="1"/>
    </row>
    <row r="15" spans="1:18" x14ac:dyDescent="0.3">
      <c r="A15" s="9">
        <v>46215</v>
      </c>
      <c r="B15" t="s">
        <v>5</v>
      </c>
      <c r="C15">
        <f>VLOOKUP(B15,'Chart of Accounts'!A:B,2,0)</f>
        <v>110</v>
      </c>
      <c r="D15" s="3">
        <v>2200</v>
      </c>
      <c r="E15" s="3"/>
      <c r="F15" t="s">
        <v>35</v>
      </c>
    </row>
    <row r="16" spans="1:18" x14ac:dyDescent="0.3">
      <c r="A16" s="9"/>
      <c r="B16" s="2" t="s">
        <v>11</v>
      </c>
      <c r="C16">
        <f>VLOOKUP(B16,'Chart of Accounts'!A:B,2,0)</f>
        <v>401</v>
      </c>
      <c r="D16" s="3"/>
      <c r="E16" s="3">
        <v>2200</v>
      </c>
      <c r="F16" t="s">
        <v>35</v>
      </c>
    </row>
    <row r="17" spans="1:6" x14ac:dyDescent="0.3">
      <c r="A17" s="9">
        <v>46221</v>
      </c>
      <c r="B17" t="s">
        <v>0</v>
      </c>
      <c r="C17">
        <f>VLOOKUP(B17,'Chart of Accounts'!A:B,2,0)</f>
        <v>101</v>
      </c>
      <c r="D17" s="3">
        <v>1500</v>
      </c>
      <c r="E17" s="3"/>
      <c r="F17" t="s">
        <v>36</v>
      </c>
    </row>
    <row r="18" spans="1:6" x14ac:dyDescent="0.3">
      <c r="A18" s="10"/>
      <c r="B18" s="2" t="s">
        <v>5</v>
      </c>
      <c r="C18">
        <f>VLOOKUP(B18,'Chart of Accounts'!A:B,2,0)</f>
        <v>110</v>
      </c>
      <c r="D18" s="3"/>
      <c r="E18" s="3">
        <v>1500</v>
      </c>
      <c r="F18" t="s">
        <v>36</v>
      </c>
    </row>
    <row r="19" spans="1:6" x14ac:dyDescent="0.3">
      <c r="A19" s="9">
        <v>46223</v>
      </c>
      <c r="B19" t="s">
        <v>13</v>
      </c>
      <c r="C19">
        <f>VLOOKUP(B19,'Chart of Accounts'!A:B,2,0)</f>
        <v>510</v>
      </c>
      <c r="D19" s="3">
        <v>500</v>
      </c>
      <c r="E19" s="3"/>
      <c r="F19" t="s">
        <v>37</v>
      </c>
    </row>
    <row r="20" spans="1:6" x14ac:dyDescent="0.3">
      <c r="A20" s="10"/>
      <c r="B20" s="2" t="s">
        <v>0</v>
      </c>
      <c r="C20">
        <f>VLOOKUP(B20,'Chart of Accounts'!A:B,2,0)</f>
        <v>101</v>
      </c>
      <c r="D20" s="3"/>
      <c r="E20" s="3">
        <v>500</v>
      </c>
      <c r="F20" t="s">
        <v>37</v>
      </c>
    </row>
    <row r="21" spans="1:6" x14ac:dyDescent="0.3">
      <c r="A21" s="9">
        <v>46230</v>
      </c>
      <c r="B21" t="s">
        <v>14</v>
      </c>
      <c r="C21">
        <f>VLOOKUP(B21,'Chart of Accounts'!A:B,2,0)</f>
        <v>520</v>
      </c>
      <c r="D21" s="3">
        <v>180</v>
      </c>
      <c r="E21" s="3"/>
      <c r="F21" t="s">
        <v>39</v>
      </c>
    </row>
    <row r="22" spans="1:6" x14ac:dyDescent="0.3">
      <c r="A22" s="10"/>
      <c r="B22" s="2" t="s">
        <v>0</v>
      </c>
      <c r="C22">
        <f>VLOOKUP(B22,'Chart of Accounts'!A:B,2,0)</f>
        <v>101</v>
      </c>
      <c r="D22" s="3"/>
      <c r="E22" s="3">
        <v>180</v>
      </c>
      <c r="F22" t="s">
        <v>39</v>
      </c>
    </row>
    <row r="23" spans="1:6" x14ac:dyDescent="0.3">
      <c r="A23" s="9">
        <v>46234</v>
      </c>
      <c r="B23" t="s">
        <v>10</v>
      </c>
      <c r="C23">
        <f>VLOOKUP(B23,'Chart of Accounts'!A:B,2,0)</f>
        <v>302</v>
      </c>
      <c r="D23" s="3">
        <v>800</v>
      </c>
      <c r="E23" s="3"/>
      <c r="F23" t="s">
        <v>40</v>
      </c>
    </row>
    <row r="24" spans="1:6" x14ac:dyDescent="0.3">
      <c r="A24" s="10"/>
      <c r="B24" s="2" t="s">
        <v>0</v>
      </c>
      <c r="C24">
        <f>VLOOKUP(B24,'Chart of Accounts'!A:B,2,0)</f>
        <v>101</v>
      </c>
      <c r="D24" s="3"/>
      <c r="E24" s="3">
        <v>800</v>
      </c>
      <c r="F24" t="s">
        <v>40</v>
      </c>
    </row>
    <row r="25" spans="1:6" ht="16.2" x14ac:dyDescent="0.3">
      <c r="D25" s="12">
        <f>SUM(D5:D24)</f>
        <v>20630</v>
      </c>
      <c r="E25" s="12">
        <f>SUM(E5:E24)</f>
        <v>20630</v>
      </c>
    </row>
    <row r="27" spans="1:6" x14ac:dyDescent="0.3">
      <c r="D27" t="s">
        <v>62</v>
      </c>
      <c r="E27" s="23" t="str">
        <f>IF(D25=E25,"Okay","Please Check")</f>
        <v>Okay</v>
      </c>
    </row>
  </sheetData>
  <conditionalFormatting sqref="E22">
    <cfRule type="containsText" dxfId="6" priority="2" operator="containsText" text="Please Check">
      <formula>NOT(ISERROR(SEARCH("Please Check",E22)))</formula>
    </cfRule>
  </conditionalFormatting>
  <conditionalFormatting sqref="E27">
    <cfRule type="containsText" dxfId="5" priority="1" operator="containsText" text="Please Check">
      <formula>NOT(ISERROR(SEARCH("Please Check",E27)))</formula>
    </cfRule>
    <cfRule type="containsText" dxfId="4" priority="3" operator="containsText" text="Okay">
      <formula>NOT(ISERROR(SEARCH("Okay",E27)))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B17715-1519-4CA0-901D-FDDF574A96AA}">
          <x14:formula1>
            <xm:f>'Chart of Accounts'!$A$4:$A$14</xm:f>
          </x14:formula1>
          <xm:sqref>B5:B20 B22:B24 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4E73-9382-4C3F-B24A-8BEA87BCC534}">
  <dimension ref="A1:E19"/>
  <sheetViews>
    <sheetView zoomScale="76" workbookViewId="0">
      <selection activeCell="G12" sqref="G12"/>
    </sheetView>
  </sheetViews>
  <sheetFormatPr defaultRowHeight="14.4" x14ac:dyDescent="0.3"/>
  <cols>
    <col min="1" max="1" width="13.109375" customWidth="1"/>
    <col min="2" max="2" width="19.77734375" customWidth="1"/>
    <col min="3" max="3" width="14.21875" customWidth="1"/>
    <col min="4" max="4" width="10.44140625" bestFit="1" customWidth="1"/>
  </cols>
  <sheetData>
    <row r="1" spans="1:5" x14ac:dyDescent="0.3">
      <c r="A1" s="7" t="s">
        <v>29</v>
      </c>
    </row>
    <row r="2" spans="1:5" x14ac:dyDescent="0.3">
      <c r="A2" s="8" t="s">
        <v>30</v>
      </c>
    </row>
    <row r="3" spans="1:5" x14ac:dyDescent="0.3">
      <c r="A3" s="8" t="s">
        <v>41</v>
      </c>
    </row>
    <row r="4" spans="1:5" ht="30" customHeight="1" x14ac:dyDescent="0.3">
      <c r="A4" s="4"/>
    </row>
    <row r="5" spans="1:5" ht="28.8" x14ac:dyDescent="0.3">
      <c r="A5" s="13" t="s">
        <v>42</v>
      </c>
      <c r="B5" s="14" t="s">
        <v>24</v>
      </c>
      <c r="C5" s="14" t="s">
        <v>25</v>
      </c>
      <c r="D5" s="14" t="s">
        <v>26</v>
      </c>
      <c r="E5" s="14" t="s">
        <v>27</v>
      </c>
    </row>
    <row r="6" spans="1:5" x14ac:dyDescent="0.3">
      <c r="A6" t="str">
        <f>'Chart of Accounts'!C4</f>
        <v>Asset</v>
      </c>
      <c r="B6" t="str">
        <f>'Chart of Accounts'!A4</f>
        <v>Cash</v>
      </c>
      <c r="C6">
        <f>VLOOKUP(B6,'Chart of Accounts'!A:B,2,0)</f>
        <v>101</v>
      </c>
      <c r="D6" s="3">
        <f>SUMIFS('Journal Entries'!D:D,'Journal Entries'!B:B,'Trial Balance'!B6)-SUMIFS('Journal Entries'!E:E,'Journal Entries'!B:B,'Trial Balance'!B6)</f>
        <v>12070</v>
      </c>
      <c r="E6" s="15"/>
    </row>
    <row r="7" spans="1:5" x14ac:dyDescent="0.3">
      <c r="A7" t="str">
        <f>'Chart of Accounts'!C5</f>
        <v>Asset</v>
      </c>
      <c r="B7" t="str">
        <f>'Chart of Accounts'!A5</f>
        <v>Accounts Receivable</v>
      </c>
      <c r="C7">
        <f>VLOOKUP(B7,'Chart of Accounts'!A:B,2,0)</f>
        <v>110</v>
      </c>
      <c r="D7" s="3">
        <f>SUMIFS('Journal Entries'!D:D,'Journal Entries'!B:B,'Trial Balance'!B7)-SUMIFS('Journal Entries'!E:E,'Journal Entries'!B:B,'Trial Balance'!B7)</f>
        <v>700</v>
      </c>
      <c r="E7" s="15"/>
    </row>
    <row r="8" spans="1:5" x14ac:dyDescent="0.3">
      <c r="A8" t="str">
        <f>'Chart of Accounts'!C6</f>
        <v>Asset</v>
      </c>
      <c r="B8" t="str">
        <f>'Chart of Accounts'!A6</f>
        <v>Office Supplies</v>
      </c>
      <c r="C8">
        <f>VLOOKUP(B8,'Chart of Accounts'!A:B,2,0)</f>
        <v>120</v>
      </c>
      <c r="D8" s="3">
        <f>SUMIFS('Journal Entries'!D:D,'Journal Entries'!B:B,'Trial Balance'!B8)-SUMIFS('Journal Entries'!E:E,'Journal Entries'!B:B,'Trial Balance'!B8)</f>
        <v>200</v>
      </c>
      <c r="E8" s="15"/>
    </row>
    <row r="9" spans="1:5" x14ac:dyDescent="0.3">
      <c r="A9" t="str">
        <f>'Chart of Accounts'!C7</f>
        <v>Asset</v>
      </c>
      <c r="B9" t="str">
        <f>'Chart of Accounts'!A7</f>
        <v>Equipment</v>
      </c>
      <c r="C9">
        <f>VLOOKUP(B9,'Chart of Accounts'!A:B,2,0)</f>
        <v>150</v>
      </c>
      <c r="D9" s="3">
        <f>SUMIFS('Journal Entries'!D:D,'Journal Entries'!B:B,'Trial Balance'!B9)-SUMIFS('Journal Entries'!E:E,'Journal Entries'!B:B,'Trial Balance'!B9)</f>
        <v>1500</v>
      </c>
      <c r="E9" s="15"/>
    </row>
    <row r="10" spans="1:5" x14ac:dyDescent="0.3">
      <c r="A10" t="str">
        <f>'Chart of Accounts'!C8</f>
        <v>Liability</v>
      </c>
      <c r="B10" t="str">
        <f>'Chart of Accounts'!A8</f>
        <v>Account Payable</v>
      </c>
      <c r="C10">
        <f>VLOOKUP(B10,'Chart of Accounts'!A:B,2,0)</f>
        <v>201</v>
      </c>
      <c r="D10" s="3"/>
      <c r="E10" s="3">
        <f>SUMIFS('Journal Entries'!E:E,'Journal Entries'!B:B,'Trial Balance'!B10)-SUMIFS('Journal Entries'!D:D,'Journal Entries'!B:B,'Trial Balance'!B10)</f>
        <v>1500</v>
      </c>
    </row>
    <row r="11" spans="1:5" x14ac:dyDescent="0.3">
      <c r="A11" t="str">
        <f>'Chart of Accounts'!C9</f>
        <v>Equity</v>
      </c>
      <c r="B11" t="str">
        <f>'Chart of Accounts'!A9</f>
        <v>Owner's Capital</v>
      </c>
      <c r="C11">
        <f>VLOOKUP(B11,'Chart of Accounts'!A:B,2,0)</f>
        <v>301</v>
      </c>
      <c r="D11" s="3"/>
      <c r="E11" s="3">
        <f>SUMIFS('Journal Entries'!E:E,'Journal Entries'!B:B,'Trial Balance'!B11)-SUMIFS('Journal Entries'!D:D,'Journal Entries'!B:B,'Trial Balance'!B11)</f>
        <v>10000</v>
      </c>
    </row>
    <row r="12" spans="1:5" x14ac:dyDescent="0.3">
      <c r="A12" t="str">
        <f>'Chart of Accounts'!C10</f>
        <v>Equity (Contra)</v>
      </c>
      <c r="B12" t="str">
        <f>'Chart of Accounts'!A10</f>
        <v>Owner's Drawing</v>
      </c>
      <c r="C12">
        <f>VLOOKUP(B12,'Chart of Accounts'!A:B,2,0)</f>
        <v>302</v>
      </c>
      <c r="D12" s="3">
        <f>SUMIFS('Journal Entries'!D:D,'Journal Entries'!B:B,'Trial Balance'!B12)-SUMIFS('Journal Entries'!E:E,'Journal Entries'!B:B,'Trial Balance'!B12)</f>
        <v>800</v>
      </c>
      <c r="E12" s="3"/>
    </row>
    <row r="13" spans="1:5" x14ac:dyDescent="0.3">
      <c r="A13" t="str">
        <f>'Chart of Accounts'!C11</f>
        <v>Revenue</v>
      </c>
      <c r="B13" t="str">
        <f>'Chart of Accounts'!A11</f>
        <v>Service Revenue</v>
      </c>
      <c r="C13">
        <f>VLOOKUP(B13,'Chart of Accounts'!A:B,2,0)</f>
        <v>401</v>
      </c>
      <c r="D13" s="3"/>
      <c r="E13" s="3">
        <f>SUMIFS('Journal Entries'!E:E,'Journal Entries'!B:B,'Trial Balance'!B13)-SUMIFS('Journal Entries'!D:D,'Journal Entries'!B:B,'Trial Balance'!B13)</f>
        <v>5200</v>
      </c>
    </row>
    <row r="14" spans="1:5" x14ac:dyDescent="0.3">
      <c r="A14" t="str">
        <f>'Chart of Accounts'!C12</f>
        <v>Expense</v>
      </c>
      <c r="B14" t="str">
        <f>'Chart of Accounts'!A12</f>
        <v>Rent Expense</v>
      </c>
      <c r="C14">
        <f>VLOOKUP(B14,'Chart of Accounts'!A:B,2,0)</f>
        <v>501</v>
      </c>
      <c r="D14" s="3">
        <f>SUMIFS('Journal Entries'!D:D,'Journal Entries'!B:B,'Trial Balance'!B14)-SUMIFS('Journal Entries'!E:E,'Journal Entries'!B:B,'Trial Balance'!B14)</f>
        <v>750</v>
      </c>
      <c r="E14" s="3"/>
    </row>
    <row r="15" spans="1:5" x14ac:dyDescent="0.3">
      <c r="A15" t="str">
        <f>'Chart of Accounts'!C13</f>
        <v>Expense</v>
      </c>
      <c r="B15" t="str">
        <f>'Chart of Accounts'!A13</f>
        <v>Salaries Expense</v>
      </c>
      <c r="C15">
        <f>VLOOKUP(B15,'Chart of Accounts'!A:B,2,0)</f>
        <v>510</v>
      </c>
      <c r="D15" s="3">
        <f>SUMIFS('Journal Entries'!D:D,'Journal Entries'!B:B,'Trial Balance'!B15)-SUMIFS('Journal Entries'!E:E,'Journal Entries'!B:B,'Trial Balance'!B15)</f>
        <v>500</v>
      </c>
      <c r="E15" s="3"/>
    </row>
    <row r="16" spans="1:5" x14ac:dyDescent="0.3">
      <c r="A16" t="str">
        <f>'Chart of Accounts'!C14</f>
        <v>Expense</v>
      </c>
      <c r="B16" t="str">
        <f>'Chart of Accounts'!A14</f>
        <v>Utilities Expense</v>
      </c>
      <c r="C16">
        <f>VLOOKUP(B16,'Chart of Accounts'!A:B,2,0)</f>
        <v>520</v>
      </c>
      <c r="D16" s="3">
        <f>SUMIFS('Journal Entries'!D:D,'Journal Entries'!B:B,'Trial Balance'!B16)-SUMIFS('Journal Entries'!E:E,'Journal Entries'!B:B,'Trial Balance'!B16)</f>
        <v>180</v>
      </c>
      <c r="E16" s="3"/>
    </row>
    <row r="17" spans="3:5" ht="16.2" x14ac:dyDescent="0.45">
      <c r="D17" s="11">
        <f>SUM(D6:D16)</f>
        <v>16700</v>
      </c>
      <c r="E17" s="11">
        <f>SUM(E6:E16)</f>
        <v>16700</v>
      </c>
    </row>
    <row r="19" spans="3:5" x14ac:dyDescent="0.3">
      <c r="C19" t="s">
        <v>62</v>
      </c>
      <c r="D19" s="23" t="str">
        <f>IF(D17=E17,"Okay","Please Check")</f>
        <v>Okay</v>
      </c>
    </row>
  </sheetData>
  <conditionalFormatting sqref="D19">
    <cfRule type="containsText" dxfId="3" priority="1" operator="containsText" text="Please Check">
      <formula>NOT(ISERROR(SEARCH("Please Check",D19)))</formula>
    </cfRule>
    <cfRule type="containsText" dxfId="2" priority="2" operator="containsText" text="Okay">
      <formula>NOT(ISERROR(SEARCH("Okay",D19)))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E2A4-6854-43F7-9B12-85288A967873}">
  <dimension ref="B3:G27"/>
  <sheetViews>
    <sheetView tabSelected="1" workbookViewId="0">
      <selection activeCell="J21" sqref="J21"/>
    </sheetView>
  </sheetViews>
  <sheetFormatPr defaultRowHeight="14.4" x14ac:dyDescent="0.3"/>
  <cols>
    <col min="1" max="1" width="9" bestFit="1" customWidth="1"/>
    <col min="2" max="2" width="17.5546875" bestFit="1" customWidth="1"/>
    <col min="5" max="5" width="7.5546875" customWidth="1"/>
    <col min="6" max="6" width="22.77734375" customWidth="1"/>
    <col min="7" max="7" width="14.33203125" customWidth="1"/>
    <col min="13" max="13" width="11.88671875" bestFit="1" customWidth="1"/>
    <col min="14" max="14" width="24.88671875" bestFit="1" customWidth="1"/>
    <col min="15" max="17" width="12.88671875" bestFit="1" customWidth="1"/>
  </cols>
  <sheetData>
    <row r="3" spans="2:7" ht="18" x14ac:dyDescent="0.3">
      <c r="B3" s="24" t="s">
        <v>29</v>
      </c>
      <c r="C3" s="25"/>
      <c r="D3" s="26"/>
      <c r="F3" s="43" t="s">
        <v>29</v>
      </c>
      <c r="G3" s="44"/>
    </row>
    <row r="4" spans="2:7" ht="18" x14ac:dyDescent="0.3">
      <c r="B4" s="27" t="s">
        <v>43</v>
      </c>
      <c r="C4" s="28"/>
      <c r="D4" s="29"/>
      <c r="F4" s="45" t="s">
        <v>51</v>
      </c>
      <c r="G4" s="32"/>
    </row>
    <row r="5" spans="2:7" x14ac:dyDescent="0.3">
      <c r="B5" s="30" t="s">
        <v>44</v>
      </c>
      <c r="C5" s="31"/>
      <c r="D5" s="32"/>
      <c r="F5" s="30" t="s">
        <v>52</v>
      </c>
      <c r="G5" s="32"/>
    </row>
    <row r="6" spans="2:7" x14ac:dyDescent="0.3">
      <c r="B6" s="33"/>
      <c r="C6" s="34"/>
      <c r="D6" s="35"/>
      <c r="F6" s="33"/>
      <c r="G6" s="35"/>
    </row>
    <row r="7" spans="2:7" x14ac:dyDescent="0.3">
      <c r="B7" s="33" t="s">
        <v>11</v>
      </c>
      <c r="C7" s="36"/>
      <c r="D7" s="37">
        <f>'Trial Balance'!E13</f>
        <v>5200</v>
      </c>
      <c r="F7" s="33" t="s">
        <v>53</v>
      </c>
      <c r="G7" s="35"/>
    </row>
    <row r="8" spans="2:7" x14ac:dyDescent="0.3">
      <c r="B8" s="33" t="s">
        <v>45</v>
      </c>
      <c r="C8" s="36"/>
      <c r="D8" s="37"/>
      <c r="F8" s="46" t="s">
        <v>0</v>
      </c>
      <c r="G8" s="37">
        <f>'Trial Balance'!D6</f>
        <v>12070</v>
      </c>
    </row>
    <row r="9" spans="2:7" x14ac:dyDescent="0.3">
      <c r="B9" s="38" t="s">
        <v>46</v>
      </c>
      <c r="C9" s="36">
        <f>'Trial Balance'!D14</f>
        <v>750</v>
      </c>
      <c r="D9" s="37"/>
      <c r="F9" s="46" t="s">
        <v>5</v>
      </c>
      <c r="G9" s="37">
        <f>'Trial Balance'!D7</f>
        <v>700</v>
      </c>
    </row>
    <row r="10" spans="2:7" x14ac:dyDescent="0.3">
      <c r="B10" s="38" t="s">
        <v>47</v>
      </c>
      <c r="C10" s="36">
        <f>'Trial Balance'!D15</f>
        <v>500</v>
      </c>
      <c r="D10" s="37"/>
      <c r="F10" s="46" t="s">
        <v>6</v>
      </c>
      <c r="G10" s="37">
        <f>'Trial Balance'!D8</f>
        <v>200</v>
      </c>
    </row>
    <row r="11" spans="2:7" x14ac:dyDescent="0.3">
      <c r="B11" s="38" t="s">
        <v>48</v>
      </c>
      <c r="C11" s="36">
        <f>'Trial Balance'!D16</f>
        <v>180</v>
      </c>
      <c r="D11" s="37"/>
      <c r="F11" s="46" t="s">
        <v>7</v>
      </c>
      <c r="G11" s="37">
        <f>'Trial Balance'!D9</f>
        <v>1500</v>
      </c>
    </row>
    <row r="12" spans="2:7" ht="16.2" x14ac:dyDescent="0.45">
      <c r="B12" s="39" t="s">
        <v>50</v>
      </c>
      <c r="C12" s="36"/>
      <c r="D12" s="37">
        <f>SUM(C9:C11)</f>
        <v>1430</v>
      </c>
      <c r="F12" s="47" t="s">
        <v>54</v>
      </c>
      <c r="G12" s="51">
        <f>SUM(G8:G11)</f>
        <v>14470</v>
      </c>
    </row>
    <row r="13" spans="2:7" ht="16.2" x14ac:dyDescent="0.45">
      <c r="B13" s="40" t="s">
        <v>49</v>
      </c>
      <c r="C13" s="41"/>
      <c r="D13" s="42">
        <f>D7-D12</f>
        <v>3770</v>
      </c>
      <c r="F13" s="33"/>
      <c r="G13" s="37"/>
    </row>
    <row r="14" spans="2:7" x14ac:dyDescent="0.3">
      <c r="F14" s="33" t="s">
        <v>56</v>
      </c>
      <c r="G14" s="37"/>
    </row>
    <row r="15" spans="2:7" x14ac:dyDescent="0.3">
      <c r="F15" s="46" t="s">
        <v>55</v>
      </c>
      <c r="G15" s="48">
        <f>'Trial Balance'!E10</f>
        <v>1500</v>
      </c>
    </row>
    <row r="16" spans="2:7" x14ac:dyDescent="0.3">
      <c r="F16" s="52" t="s">
        <v>61</v>
      </c>
      <c r="G16" s="37"/>
    </row>
    <row r="17" spans="6:7" x14ac:dyDescent="0.3">
      <c r="F17" s="33"/>
      <c r="G17" s="37"/>
    </row>
    <row r="18" spans="6:7" x14ac:dyDescent="0.3">
      <c r="F18" s="33" t="s">
        <v>57</v>
      </c>
      <c r="G18" s="37"/>
    </row>
    <row r="19" spans="6:7" x14ac:dyDescent="0.3">
      <c r="F19" s="46" t="s">
        <v>9</v>
      </c>
      <c r="G19" s="37">
        <f>'Trial Balance'!E11</f>
        <v>10000</v>
      </c>
    </row>
    <row r="20" spans="6:7" x14ac:dyDescent="0.3">
      <c r="F20" s="46" t="s">
        <v>10</v>
      </c>
      <c r="G20" s="49">
        <f>'Trial Balance'!D12*-1</f>
        <v>-800</v>
      </c>
    </row>
    <row r="21" spans="6:7" x14ac:dyDescent="0.3">
      <c r="F21" s="46" t="s">
        <v>58</v>
      </c>
      <c r="G21" s="37">
        <f>D13</f>
        <v>3770</v>
      </c>
    </row>
    <row r="22" spans="6:7" x14ac:dyDescent="0.3">
      <c r="F22" s="52" t="s">
        <v>59</v>
      </c>
      <c r="G22" s="37">
        <f>SUM(G19:G21)</f>
        <v>12970</v>
      </c>
    </row>
    <row r="23" spans="6:7" x14ac:dyDescent="0.3">
      <c r="F23" s="33"/>
      <c r="G23" s="37"/>
    </row>
    <row r="24" spans="6:7" ht="16.2" x14ac:dyDescent="0.45">
      <c r="F24" s="50" t="s">
        <v>60</v>
      </c>
      <c r="G24" s="42">
        <f>SUM(G15,G22)</f>
        <v>14470</v>
      </c>
    </row>
    <row r="27" spans="6:7" x14ac:dyDescent="0.3">
      <c r="F27" t="s">
        <v>62</v>
      </c>
      <c r="G27" s="23" t="str">
        <f>IF(G12=G24,"Okay","Please Check")</f>
        <v>Okay</v>
      </c>
    </row>
  </sheetData>
  <conditionalFormatting sqref="G27">
    <cfRule type="containsText" dxfId="1" priority="1" operator="containsText" text="Please Check">
      <formula>NOT(ISERROR(SEARCH("Please Check",G27)))</formula>
    </cfRule>
    <cfRule type="containsText" dxfId="0" priority="2" operator="containsText" text="Okay">
      <formula>NOT(ISERROR(SEARCH("Okay",G27)))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 of Accounts</vt:lpstr>
      <vt:lpstr>Journal Entries</vt:lpstr>
      <vt:lpstr>Trial Balance</vt:lpstr>
      <vt:lpstr>Financial 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Rover</dc:creator>
  <cp:lastModifiedBy>Andrea Casuncad</cp:lastModifiedBy>
  <dcterms:created xsi:type="dcterms:W3CDTF">2026-06-16T12:11:01Z</dcterms:created>
  <dcterms:modified xsi:type="dcterms:W3CDTF">2026-07-26T04:26:11Z</dcterms:modified>
</cp:coreProperties>
</file>